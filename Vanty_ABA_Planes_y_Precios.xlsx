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es y Precios" sheetId="1" state="visible" r:id="rId3"/>
    <sheet name="Costos y Marg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<sst xmlns="http://schemas.openxmlformats.org/spreadsheetml/2006/main" count="179" uniqueCount="89">
  <si>
    <t xml:space="preserve">VANTY ABA — Planes, Precios y Funcionalidades</t>
  </si>
  <si>
    <t xml:space="preserve">Software ABA multilenguaje (se adapta al país) · Precios en USD · IA propia: ARIA</t>
  </si>
  <si>
    <t xml:space="preserve">PERSONAL</t>
  </si>
  <si>
    <t xml:space="preserve">VANTY EMPRESA</t>
  </si>
  <si>
    <t xml:space="preserve">PLAN</t>
  </si>
  <si>
    <t xml:space="preserve">Basic</t>
  </si>
  <si>
    <t xml:space="preserve">Plus</t>
  </si>
  <si>
    <t xml:space="preserve">Pro</t>
  </si>
  <si>
    <t xml:space="preserve">Mini Enterprise</t>
  </si>
  <si>
    <t xml:space="preserve">Enterprise</t>
  </si>
  <si>
    <t xml:space="preserve">Pacientes / alumnos</t>
  </si>
  <si>
    <t xml:space="preserve">1 a 15</t>
  </si>
  <si>
    <t xml:space="preserve">16 a 50</t>
  </si>
  <si>
    <t xml:space="preserve">51 a 100</t>
  </si>
  <si>
    <t xml:space="preserve">hasta 200</t>
  </si>
  <si>
    <t xml:space="preserve">200 +</t>
  </si>
  <si>
    <t xml:space="preserve">Precio mensual (USD)</t>
  </si>
  <si>
    <t xml:space="preserve">Consultar</t>
  </si>
  <si>
    <t xml:space="preserve">Precio anual (2 meses gratis)</t>
  </si>
  <si>
    <t xml:space="preserve">Ahorro anual</t>
  </si>
  <si>
    <t xml:space="preserve">—</t>
  </si>
  <si>
    <t xml:space="preserve">AGENDA</t>
  </si>
  <si>
    <t xml:space="preserve">Agenda</t>
  </si>
  <si>
    <t xml:space="preserve">Básica</t>
  </si>
  <si>
    <t xml:space="preserve">Vinculada a Google y Outlook</t>
  </si>
  <si>
    <t xml:space="preserve">Vinculada + link para separar</t>
  </si>
  <si>
    <t xml:space="preserve">Incluido</t>
  </si>
  <si>
    <t xml:space="preserve">GESTIÓN DE PACIENTES</t>
  </si>
  <si>
    <t xml:space="preserve">Info, Programas ABA, Evaluaciones, Historial &amp; IA, Documentos</t>
  </si>
  <si>
    <t xml:space="preserve">✓</t>
  </si>
  <si>
    <t xml:space="preserve">Evaluación inicial impulsada con IA</t>
  </si>
  <si>
    <t xml:space="preserve">Fichas editables</t>
  </si>
  <si>
    <t xml:space="preserve">ANÁLISIS PREDICTIVO (IA)</t>
  </si>
  <si>
    <t xml:space="preserve">Reporte</t>
  </si>
  <si>
    <t xml:space="preserve">Predicciones IA · Patrones ABA · Objetivos IA · Alertas proactivas</t>
  </si>
  <si>
    <t xml:space="preserve">CEREBRO IA</t>
  </si>
  <si>
    <t xml:space="preserve">CIE-11 / ICD-10 (apoyo al especialista, no diagnóstico)</t>
  </si>
  <si>
    <t xml:space="preserve">FINANZAS</t>
  </si>
  <si>
    <t xml:space="preserve">Gestión de pagos y reportes financieros</t>
  </si>
  <si>
    <t xml:space="preserve">RECURSOS</t>
  </si>
  <si>
    <t xml:space="preserve">Recursos y Tienda</t>
  </si>
  <si>
    <t xml:space="preserve">Catálogo de servicios</t>
  </si>
  <si>
    <t xml:space="preserve">COMUNICACIÓN</t>
  </si>
  <si>
    <t xml:space="preserve">Chat de equipo y padres</t>
  </si>
  <si>
    <t xml:space="preserve">ROLES INCLUIDOS</t>
  </si>
  <si>
    <t xml:space="preserve">Administradores</t>
  </si>
  <si>
    <t xml:space="preserve">1</t>
  </si>
  <si>
    <t xml:space="preserve">hasta 2</t>
  </si>
  <si>
    <t xml:space="preserve">hasta 5</t>
  </si>
  <si>
    <t xml:space="preserve">hasta 10</t>
  </si>
  <si>
    <t xml:space="preserve">Ilimitados</t>
  </si>
  <si>
    <t xml:space="preserve">Secretaria</t>
  </si>
  <si>
    <t xml:space="preserve">3</t>
  </si>
  <si>
    <t xml:space="preserve">6</t>
  </si>
  <si>
    <t xml:space="preserve">Especialistas</t>
  </si>
  <si>
    <t xml:space="preserve">5</t>
  </si>
  <si>
    <t xml:space="preserve">15</t>
  </si>
  <si>
    <t xml:space="preserve">30</t>
  </si>
  <si>
    <t xml:space="preserve">Padres</t>
  </si>
  <si>
    <t xml:space="preserve">hasta 15</t>
  </si>
  <si>
    <t xml:space="preserve">hasta 40</t>
  </si>
  <si>
    <t xml:space="preserve">hasta 100</t>
  </si>
  <si>
    <t xml:space="preserve">INTELIGENCIA ARTIFICIAL — ARIA</t>
  </si>
  <si>
    <t xml:space="preserve">Nivel de uso de IA</t>
  </si>
  <si>
    <t xml:space="preserve">Baja</t>
  </si>
  <si>
    <t xml:space="preserve">Medio</t>
  </si>
  <si>
    <t xml:space="preserve">Alta</t>
  </si>
  <si>
    <t xml:space="preserve">Ilimitado (uso justo)</t>
  </si>
  <si>
    <t xml:space="preserve">SOPORTE</t>
  </si>
  <si>
    <t xml:space="preserve">Soporte y capacitación</t>
  </si>
  <si>
    <t xml:space="preserve">Horario hábil</t>
  </si>
  <si>
    <t xml:space="preserve">Prioritario</t>
  </si>
  <si>
    <t xml:space="preserve">24/7</t>
  </si>
  <si>
    <t xml:space="preserve">EMPRESA / AVANZADO</t>
  </si>
  <si>
    <t xml:space="preserve">Funciones personalizadas</t>
  </si>
  <si>
    <t xml:space="preserve">HIPAA / cumplimiento de datos clínicos</t>
  </si>
  <si>
    <t xml:space="preserve">Integraciones (facturación / seguros) + API</t>
  </si>
  <si>
    <t xml:space="preserve">White-label · multi-clínica / multi-sede</t>
  </si>
  <si>
    <t xml:space="preserve">Infraestructura dedicada · SLA</t>
  </si>
  <si>
    <t xml:space="preserve">Estimación de costos y margen por plan (mensual)</t>
  </si>
  <si>
    <t xml:space="preserve">Concepto</t>
  </si>
  <si>
    <t xml:space="preserve">Mini Ent.</t>
  </si>
  <si>
    <t xml:space="preserve">Supabase / cliente</t>
  </si>
  <si>
    <t xml:space="preserve">IA ARIA / cliente (Gemini Flash)</t>
  </si>
  <si>
    <t xml:space="preserve">Soporte (estimado)</t>
  </si>
  <si>
    <t xml:space="preserve">Costo total estimado</t>
  </si>
  <si>
    <t xml:space="preserve">Margen bruto (USD)</t>
  </si>
  <si>
    <t xml:space="preserve">Margen %</t>
  </si>
  <si>
    <t xml:space="preserve">Notas: valores en azul son supuestos editables. Supabase $0 en Basic (plan Free, sin HIPAA). IA con Gemini Flash es muy barata (~$0.002 por interacción); 'ilimitado' = uso justo con tope interno alto. El soporte humano es el costo a vigilar: 24/7 real solo en Mini/Enterprise. Enterprise se cotiza a medida (pass-through de infra + margen).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</si>
</sst>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2E7D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2E7D5B"/>
      <name val="Arial"/>
      <family val="0"/>
      <charset val="1"/>
    </font>
    <font>
      <sz val="9"/>
      <color rgb="FFBBBBB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5C45"/>
        <bgColor rgb="FF444444"/>
      </patternFill>
    </fill>
    <fill>
      <patternFill patternType="solid">
        <fgColor rgb="FFFFFFFF"/>
        <bgColor rgb="FFF2F2F2"/>
      </patternFill>
    </fill>
    <fill>
      <patternFill patternType="solid">
        <fgColor rgb="FFFFE600"/>
        <bgColor rgb="FFFFFF00"/>
      </patternFill>
    </fill>
    <fill>
      <patternFill patternType="solid">
        <fgColor rgb="FFE6CCE0"/>
        <bgColor rgb="FFCCCCCC"/>
      </patternFill>
    </fill>
    <fill>
      <patternFill patternType="solid">
        <fgColor rgb="FFA9D18E"/>
        <bgColor rgb="FFBBBBBB"/>
      </patternFill>
    </fill>
    <fill>
      <patternFill patternType="solid">
        <fgColor rgb="FF9DC3E6"/>
        <bgColor rgb="FFBBBBBB"/>
      </patternFill>
    </fill>
    <fill>
      <patternFill patternType="solid">
        <fgColor rgb="FFB4A7D6"/>
        <bgColor rgb="FFBBBBBB"/>
      </patternFill>
    </fill>
    <fill>
      <patternFill patternType="solid">
        <fgColor rgb="FF2E7D5B"/>
        <bgColor rgb="FF1F5C45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AD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DC3E6"/>
      <rgbColor rgb="FFFF99CC"/>
      <rgbColor rgb="FFB4A7D6"/>
      <rgbColor rgb="FFE6CCE0"/>
      <rgbColor rgb="FF3366FF"/>
      <rgbColor rgb="FF33CCCC"/>
      <rgbColor rgb="FF99CC00"/>
      <rgbColor rgb="FFFFCC00"/>
      <rgbColor rgb="FFFF9900"/>
      <rgbColor rgb="FFFF6600"/>
      <rgbColor rgb="FF666699"/>
      <rgbColor rgb="FFA9D18E"/>
      <rgbColor rgb="FF1F5C45"/>
      <rgbColor rgb="FF2E7D5B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9"/>
    <col collapsed="false" customWidth="true" hidden="false" outlineLevel="0" max="6" min="6" style="0" width="2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/>
      <c r="B3" s="4" t="s">
        <v>2</v>
      </c>
      <c r="C3" s="4"/>
      <c r="D3" s="4"/>
      <c r="E3" s="5" t="s">
        <v>3</v>
      </c>
      <c r="F3" s="5"/>
    </row>
    <row r="4" customFormat="false" ht="24" hidden="false" customHeight="true" outlineLevel="0" collapsed="false">
      <c r="A4" s="6" t="s">
        <v>4</v>
      </c>
      <c r="B4" s="7" t="s">
        <v>5</v>
      </c>
      <c r="C4" s="8" t="s">
        <v>6</v>
      </c>
      <c r="D4" s="9" t="s">
        <v>7</v>
      </c>
      <c r="E4" s="10" t="s">
        <v>8</v>
      </c>
      <c r="F4" s="11" t="s">
        <v>9</v>
      </c>
    </row>
    <row r="5" customFormat="false" ht="15" hidden="false" customHeight="false" outlineLevel="0" collapsed="false">
      <c r="A5" s="12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</row>
    <row r="6" customFormat="false" ht="15" hidden="false" customHeight="false" outlineLevel="0" collapsed="false">
      <c r="A6" s="14" t="s">
        <v>16</v>
      </c>
      <c r="B6" s="15" t="n">
        <v>50</v>
      </c>
      <c r="C6" s="15" t="n">
        <v>150</v>
      </c>
      <c r="D6" s="15" t="n">
        <v>250</v>
      </c>
      <c r="E6" s="15" t="n">
        <v>600</v>
      </c>
      <c r="F6" s="16" t="s">
        <v>17</v>
      </c>
    </row>
    <row r="7" customFormat="false" ht="15" hidden="false" customHeight="false" outlineLevel="0" collapsed="false">
      <c r="A7" s="14" t="s">
        <v>18</v>
      </c>
      <c r="B7" s="17" t="n">
        <f aca="false">B6*10</f>
        <v>500</v>
      </c>
      <c r="C7" s="17" t="n">
        <f aca="false">C6*10</f>
        <v>1500</v>
      </c>
      <c r="D7" s="17" t="n">
        <f aca="false">D6*10</f>
        <v>2500</v>
      </c>
      <c r="E7" s="17" t="n">
        <f aca="false">E6*10</f>
        <v>6000</v>
      </c>
      <c r="F7" s="16" t="s">
        <v>17</v>
      </c>
    </row>
    <row r="8" customFormat="false" ht="15" hidden="false" customHeight="false" outlineLevel="0" collapsed="false">
      <c r="A8" s="18" t="s">
        <v>19</v>
      </c>
      <c r="B8" s="19" t="n">
        <f aca="false">B6*2</f>
        <v>100</v>
      </c>
      <c r="C8" s="19" t="n">
        <f aca="false">C6*2</f>
        <v>300</v>
      </c>
      <c r="D8" s="19" t="n">
        <f aca="false">D6*2</f>
        <v>500</v>
      </c>
      <c r="E8" s="19" t="n">
        <f aca="false">E6*2</f>
        <v>1200</v>
      </c>
      <c r="F8" s="13" t="s">
        <v>20</v>
      </c>
    </row>
    <row r="9" customFormat="false" ht="18" hidden="false" customHeight="true" outlineLevel="0" collapsed="false">
      <c r="A9" s="20" t="s">
        <v>21</v>
      </c>
      <c r="B9" s="20"/>
      <c r="C9" s="20"/>
      <c r="D9" s="20"/>
      <c r="E9" s="20"/>
      <c r="F9" s="20"/>
    </row>
    <row r="10" customFormat="false" ht="15.75" hidden="false" customHeight="true" outlineLevel="0" collapsed="false">
      <c r="A10" s="21" t="s">
        <v>22</v>
      </c>
      <c r="B10" s="22" t="s">
        <v>23</v>
      </c>
      <c r="C10" s="23" t="s">
        <v>24</v>
      </c>
      <c r="D10" s="23" t="s">
        <v>25</v>
      </c>
      <c r="E10" s="22" t="s">
        <v>26</v>
      </c>
      <c r="F10" s="22" t="s">
        <v>26</v>
      </c>
    </row>
    <row r="11" customFormat="false" ht="18" hidden="false" customHeight="true" outlineLevel="0" collapsed="false">
      <c r="A11" s="20" t="s">
        <v>27</v>
      </c>
      <c r="B11" s="20"/>
      <c r="C11" s="20"/>
      <c r="D11" s="20"/>
      <c r="E11" s="20"/>
      <c r="F11" s="20"/>
    </row>
    <row r="12" customFormat="false" ht="15.75" hidden="false" customHeight="true" outlineLevel="0" collapsed="false">
      <c r="A12" s="21" t="s">
        <v>28</v>
      </c>
      <c r="B12" s="24" t="s">
        <v>29</v>
      </c>
      <c r="C12" s="24" t="s">
        <v>29</v>
      </c>
      <c r="D12" s="24" t="s">
        <v>29</v>
      </c>
      <c r="E12" s="24" t="s">
        <v>29</v>
      </c>
      <c r="F12" s="24" t="s">
        <v>29</v>
      </c>
    </row>
    <row r="13" customFormat="false" ht="15.75" hidden="false" customHeight="true" outlineLevel="0" collapsed="false">
      <c r="A13" s="21" t="s">
        <v>30</v>
      </c>
      <c r="B13" s="25" t="s">
        <v>20</v>
      </c>
      <c r="C13" s="24" t="s">
        <v>29</v>
      </c>
      <c r="D13" s="24" t="s">
        <v>29</v>
      </c>
      <c r="E13" s="24" t="s">
        <v>29</v>
      </c>
      <c r="F13" s="24" t="s">
        <v>29</v>
      </c>
    </row>
    <row r="14" customFormat="false" ht="15.75" hidden="false" customHeight="true" outlineLevel="0" collapsed="false">
      <c r="A14" s="21" t="s">
        <v>31</v>
      </c>
      <c r="B14" s="25" t="s">
        <v>20</v>
      </c>
      <c r="C14" s="24" t="s">
        <v>29</v>
      </c>
      <c r="D14" s="24" t="s">
        <v>29</v>
      </c>
      <c r="E14" s="24" t="s">
        <v>29</v>
      </c>
      <c r="F14" s="24" t="s">
        <v>29</v>
      </c>
    </row>
    <row r="15" customFormat="false" ht="18" hidden="false" customHeight="true" outlineLevel="0" collapsed="false">
      <c r="A15" s="20" t="s">
        <v>32</v>
      </c>
      <c r="B15" s="20"/>
      <c r="C15" s="20"/>
      <c r="D15" s="20"/>
      <c r="E15" s="20"/>
      <c r="F15" s="20"/>
    </row>
    <row r="16" customFormat="false" ht="15.75" hidden="false" customHeight="true" outlineLevel="0" collapsed="false">
      <c r="A16" s="21" t="s">
        <v>33</v>
      </c>
      <c r="B16" s="24" t="s">
        <v>29</v>
      </c>
      <c r="C16" s="24" t="s">
        <v>29</v>
      </c>
      <c r="D16" s="24" t="s">
        <v>29</v>
      </c>
      <c r="E16" s="24" t="s">
        <v>29</v>
      </c>
      <c r="F16" s="24" t="s">
        <v>29</v>
      </c>
    </row>
    <row r="17" customFormat="false" ht="15.75" hidden="false" customHeight="true" outlineLevel="0" collapsed="false">
      <c r="A17" s="21" t="s">
        <v>34</v>
      </c>
      <c r="B17" s="25" t="s">
        <v>20</v>
      </c>
      <c r="C17" s="24" t="s">
        <v>29</v>
      </c>
      <c r="D17" s="24" t="s">
        <v>29</v>
      </c>
      <c r="E17" s="24" t="s">
        <v>29</v>
      </c>
      <c r="F17" s="24" t="s">
        <v>29</v>
      </c>
    </row>
    <row r="18" customFormat="false" ht="18" hidden="false" customHeight="true" outlineLevel="0" collapsed="false">
      <c r="A18" s="20" t="s">
        <v>35</v>
      </c>
      <c r="B18" s="20"/>
      <c r="C18" s="20"/>
      <c r="D18" s="20"/>
      <c r="E18" s="20"/>
      <c r="F18" s="20"/>
    </row>
    <row r="19" customFormat="false" ht="15.75" hidden="false" customHeight="true" outlineLevel="0" collapsed="false">
      <c r="A19" s="21" t="s">
        <v>36</v>
      </c>
      <c r="B19" s="24" t="s">
        <v>29</v>
      </c>
      <c r="C19" s="24" t="s">
        <v>29</v>
      </c>
      <c r="D19" s="24" t="s">
        <v>29</v>
      </c>
      <c r="E19" s="24" t="s">
        <v>29</v>
      </c>
      <c r="F19" s="24" t="s">
        <v>29</v>
      </c>
    </row>
    <row r="20" customFormat="false" ht="18" hidden="false" customHeight="true" outlineLevel="0" collapsed="false">
      <c r="A20" s="20" t="s">
        <v>37</v>
      </c>
      <c r="B20" s="20"/>
      <c r="C20" s="20"/>
      <c r="D20" s="20"/>
      <c r="E20" s="20"/>
      <c r="F20" s="20"/>
    </row>
    <row r="21" customFormat="false" ht="15.75" hidden="false" customHeight="true" outlineLevel="0" collapsed="false">
      <c r="A21" s="21" t="s">
        <v>38</v>
      </c>
      <c r="B21" s="25" t="s">
        <v>20</v>
      </c>
      <c r="C21" s="24" t="s">
        <v>29</v>
      </c>
      <c r="D21" s="24" t="s">
        <v>29</v>
      </c>
      <c r="E21" s="24" t="s">
        <v>29</v>
      </c>
      <c r="F21" s="24" t="s">
        <v>29</v>
      </c>
    </row>
    <row r="22" customFormat="false" ht="18" hidden="false" customHeight="true" outlineLevel="0" collapsed="false">
      <c r="A22" s="20" t="s">
        <v>39</v>
      </c>
      <c r="B22" s="20"/>
      <c r="C22" s="20"/>
      <c r="D22" s="20"/>
      <c r="E22" s="20"/>
      <c r="F22" s="20"/>
    </row>
    <row r="23" customFormat="false" ht="15.75" hidden="false" customHeight="true" outlineLevel="0" collapsed="false">
      <c r="A23" s="21" t="s">
        <v>40</v>
      </c>
      <c r="B23" s="24" t="s">
        <v>29</v>
      </c>
      <c r="C23" s="24" t="s">
        <v>29</v>
      </c>
      <c r="D23" s="24" t="s">
        <v>29</v>
      </c>
      <c r="E23" s="24" t="s">
        <v>29</v>
      </c>
      <c r="F23" s="24" t="s">
        <v>29</v>
      </c>
    </row>
    <row r="24" customFormat="false" ht="15.75" hidden="false" customHeight="true" outlineLevel="0" collapsed="false">
      <c r="A24" s="21" t="s">
        <v>41</v>
      </c>
      <c r="B24" s="25" t="s">
        <v>20</v>
      </c>
      <c r="C24" s="24" t="s">
        <v>29</v>
      </c>
      <c r="D24" s="24" t="s">
        <v>29</v>
      </c>
      <c r="E24" s="24" t="s">
        <v>29</v>
      </c>
      <c r="F24" s="24" t="s">
        <v>29</v>
      </c>
    </row>
    <row r="25" customFormat="false" ht="18" hidden="false" customHeight="true" outlineLevel="0" collapsed="false">
      <c r="A25" s="20" t="s">
        <v>42</v>
      </c>
      <c r="B25" s="20"/>
      <c r="C25" s="20"/>
      <c r="D25" s="20"/>
      <c r="E25" s="20"/>
      <c r="F25" s="20"/>
    </row>
    <row r="26" customFormat="false" ht="15.75" hidden="false" customHeight="true" outlineLevel="0" collapsed="false">
      <c r="A26" s="21" t="s">
        <v>43</v>
      </c>
      <c r="B26" s="25" t="s">
        <v>20</v>
      </c>
      <c r="C26" s="24" t="s">
        <v>29</v>
      </c>
      <c r="D26" s="24" t="s">
        <v>29</v>
      </c>
      <c r="E26" s="24" t="s">
        <v>29</v>
      </c>
      <c r="F26" s="24" t="s">
        <v>29</v>
      </c>
    </row>
    <row r="27" customFormat="false" ht="18" hidden="false" customHeight="true" outlineLevel="0" collapsed="false">
      <c r="A27" s="20" t="s">
        <v>44</v>
      </c>
      <c r="B27" s="20"/>
      <c r="C27" s="20"/>
      <c r="D27" s="20"/>
      <c r="E27" s="20"/>
      <c r="F27" s="20"/>
    </row>
    <row r="28" customFormat="false" ht="15.75" hidden="false" customHeight="true" outlineLevel="0" collapsed="false">
      <c r="A28" s="21" t="s">
        <v>45</v>
      </c>
      <c r="B28" s="22" t="s">
        <v>46</v>
      </c>
      <c r="C28" s="22" t="s">
        <v>47</v>
      </c>
      <c r="D28" s="22" t="s">
        <v>48</v>
      </c>
      <c r="E28" s="22" t="s">
        <v>49</v>
      </c>
      <c r="F28" s="22" t="s">
        <v>50</v>
      </c>
    </row>
    <row r="29" customFormat="false" ht="15.75" hidden="false" customHeight="true" outlineLevel="0" collapsed="false">
      <c r="A29" s="21" t="s">
        <v>51</v>
      </c>
      <c r="B29" s="25" t="s">
        <v>20</v>
      </c>
      <c r="C29" s="22" t="s">
        <v>46</v>
      </c>
      <c r="D29" s="22" t="s">
        <v>52</v>
      </c>
      <c r="E29" s="22" t="s">
        <v>53</v>
      </c>
      <c r="F29" s="22" t="s">
        <v>50</v>
      </c>
    </row>
    <row r="30" customFormat="false" ht="15.75" hidden="false" customHeight="true" outlineLevel="0" collapsed="false">
      <c r="A30" s="21" t="s">
        <v>54</v>
      </c>
      <c r="B30" s="25" t="s">
        <v>20</v>
      </c>
      <c r="C30" s="22" t="s">
        <v>55</v>
      </c>
      <c r="D30" s="22" t="s">
        <v>56</v>
      </c>
      <c r="E30" s="22" t="s">
        <v>57</v>
      </c>
      <c r="F30" s="22" t="s">
        <v>50</v>
      </c>
    </row>
    <row r="31" customFormat="false" ht="15.75" hidden="false" customHeight="true" outlineLevel="0" collapsed="false">
      <c r="A31" s="21" t="s">
        <v>58</v>
      </c>
      <c r="B31" s="22" t="s">
        <v>59</v>
      </c>
      <c r="C31" s="22" t="s">
        <v>60</v>
      </c>
      <c r="D31" s="22" t="s">
        <v>61</v>
      </c>
      <c r="E31" s="22" t="s">
        <v>14</v>
      </c>
      <c r="F31" s="22" t="s">
        <v>50</v>
      </c>
    </row>
    <row r="32" customFormat="false" ht="18" hidden="false" customHeight="true" outlineLevel="0" collapsed="false">
      <c r="A32" s="20" t="s">
        <v>62</v>
      </c>
      <c r="B32" s="20"/>
      <c r="C32" s="20"/>
      <c r="D32" s="20"/>
      <c r="E32" s="20"/>
      <c r="F32" s="20"/>
    </row>
    <row r="33" customFormat="false" ht="15.75" hidden="false" customHeight="true" outlineLevel="0" collapsed="false">
      <c r="A33" s="21" t="s">
        <v>63</v>
      </c>
      <c r="B33" s="22" t="s">
        <v>64</v>
      </c>
      <c r="C33" s="22" t="s">
        <v>65</v>
      </c>
      <c r="D33" s="22" t="s">
        <v>66</v>
      </c>
      <c r="E33" s="23" t="s">
        <v>67</v>
      </c>
      <c r="F33" s="23" t="s">
        <v>67</v>
      </c>
    </row>
    <row r="34" customFormat="false" ht="18" hidden="false" customHeight="true" outlineLevel="0" collapsed="false">
      <c r="A34" s="20" t="s">
        <v>68</v>
      </c>
      <c r="B34" s="20"/>
      <c r="C34" s="20"/>
      <c r="D34" s="20"/>
      <c r="E34" s="20"/>
      <c r="F34" s="20"/>
    </row>
    <row r="35" customFormat="false" ht="15.75" hidden="false" customHeight="true" outlineLevel="0" collapsed="false">
      <c r="A35" s="21" t="s">
        <v>69</v>
      </c>
      <c r="B35" s="23" t="s">
        <v>70</v>
      </c>
      <c r="C35" s="23" t="s">
        <v>70</v>
      </c>
      <c r="D35" s="22" t="s">
        <v>71</v>
      </c>
      <c r="E35" s="22" t="s">
        <v>72</v>
      </c>
      <c r="F35" s="22" t="s">
        <v>72</v>
      </c>
    </row>
    <row r="36" customFormat="false" ht="18" hidden="false" customHeight="true" outlineLevel="0" collapsed="false">
      <c r="A36" s="20" t="s">
        <v>73</v>
      </c>
      <c r="B36" s="20"/>
      <c r="C36" s="20"/>
      <c r="D36" s="20"/>
      <c r="E36" s="20"/>
      <c r="F36" s="20"/>
    </row>
    <row r="37" customFormat="false" ht="15.75" hidden="false" customHeight="true" outlineLevel="0" collapsed="false">
      <c r="A37" s="21" t="s">
        <v>74</v>
      </c>
      <c r="B37" s="25" t="s">
        <v>20</v>
      </c>
      <c r="C37" s="25" t="s">
        <v>20</v>
      </c>
      <c r="D37" s="25" t="s">
        <v>20</v>
      </c>
      <c r="E37" s="25" t="s">
        <v>20</v>
      </c>
      <c r="F37" s="24" t="s">
        <v>29</v>
      </c>
    </row>
    <row r="38" customFormat="false" ht="15.75" hidden="false" customHeight="true" outlineLevel="0" collapsed="false">
      <c r="A38" s="21" t="s">
        <v>75</v>
      </c>
      <c r="B38" s="25" t="s">
        <v>20</v>
      </c>
      <c r="C38" s="25" t="s">
        <v>20</v>
      </c>
      <c r="D38" s="25" t="s">
        <v>20</v>
      </c>
      <c r="E38" s="25" t="s">
        <v>20</v>
      </c>
      <c r="F38" s="24" t="s">
        <v>29</v>
      </c>
    </row>
    <row r="39" customFormat="false" ht="15.75" hidden="false" customHeight="true" outlineLevel="0" collapsed="false">
      <c r="A39" s="21" t="s">
        <v>76</v>
      </c>
      <c r="B39" s="25" t="s">
        <v>20</v>
      </c>
      <c r="C39" s="25" t="s">
        <v>20</v>
      </c>
      <c r="D39" s="25" t="s">
        <v>20</v>
      </c>
      <c r="E39" s="25" t="s">
        <v>20</v>
      </c>
      <c r="F39" s="24" t="s">
        <v>29</v>
      </c>
    </row>
    <row r="40" customFormat="false" ht="15.75" hidden="false" customHeight="true" outlineLevel="0" collapsed="false">
      <c r="A40" s="21" t="s">
        <v>77</v>
      </c>
      <c r="B40" s="25" t="s">
        <v>20</v>
      </c>
      <c r="C40" s="25" t="s">
        <v>20</v>
      </c>
      <c r="D40" s="25" t="s">
        <v>20</v>
      </c>
      <c r="E40" s="25" t="s">
        <v>20</v>
      </c>
      <c r="F40" s="24" t="s">
        <v>29</v>
      </c>
    </row>
    <row r="41" customFormat="false" ht="15.75" hidden="false" customHeight="true" outlineLevel="0" collapsed="false">
      <c r="A41" s="21" t="s">
        <v>78</v>
      </c>
      <c r="B41" s="25" t="s">
        <v>20</v>
      </c>
      <c r="C41" s="25" t="s">
        <v>20</v>
      </c>
      <c r="D41" s="25" t="s">
        <v>20</v>
      </c>
      <c r="E41" s="25" t="s">
        <v>20</v>
      </c>
      <c r="F41" s="24" t="s">
        <v>29</v>
      </c>
    </row>
  </sheetData>
  <mergeCells count="15">
    <mergeCell ref="A1:F1"/>
    <mergeCell ref="A2:F2"/>
    <mergeCell ref="B3:D3"/>
    <mergeCell ref="E3:F3"/>
    <mergeCell ref="A9:F9"/>
    <mergeCell ref="A11:F11"/>
    <mergeCell ref="A15:F15"/>
    <mergeCell ref="A18:F18"/>
    <mergeCell ref="A20:F20"/>
    <mergeCell ref="A22:F22"/>
    <mergeCell ref="A25:F25"/>
    <mergeCell ref="A27:F27"/>
    <mergeCell ref="A32:F32"/>
    <mergeCell ref="A34:F34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24" hidden="false" customHeight="true" outlineLevel="0" collapsed="false">
      <c r="A1" s="26" t="s">
        <v>79</v>
      </c>
      <c r="B1" s="26"/>
      <c r="C1" s="26"/>
      <c r="D1" s="26"/>
      <c r="E1" s="26"/>
      <c r="F1" s="26"/>
    </row>
    <row r="3" customFormat="false" ht="15" hidden="false" customHeight="false" outlineLevel="0" collapsed="false">
      <c r="A3" s="27" t="s">
        <v>80</v>
      </c>
      <c r="B3" s="27" t="s">
        <v>5</v>
      </c>
      <c r="C3" s="27" t="s">
        <v>6</v>
      </c>
      <c r="D3" s="27" t="s">
        <v>7</v>
      </c>
      <c r="E3" s="27" t="s">
        <v>81</v>
      </c>
    </row>
    <row r="4" customFormat="false" ht="15" hidden="false" customHeight="false" outlineLevel="0" collapsed="false">
      <c r="A4" s="12" t="s">
        <v>16</v>
      </c>
      <c r="B4" s="28" t="n">
        <v>50</v>
      </c>
      <c r="C4" s="28" t="n">
        <v>150</v>
      </c>
      <c r="D4" s="28" t="n">
        <v>250</v>
      </c>
      <c r="E4" s="28" t="n">
        <v>600</v>
      </c>
    </row>
    <row r="5" customFormat="false" ht="15" hidden="false" customHeight="false" outlineLevel="0" collapsed="false">
      <c r="A5" s="29" t="s">
        <v>82</v>
      </c>
      <c r="B5" s="30" t="n">
        <v>0</v>
      </c>
      <c r="C5" s="30" t="n">
        <v>25</v>
      </c>
      <c r="D5" s="30" t="n">
        <v>25</v>
      </c>
      <c r="E5" s="30" t="n">
        <v>35</v>
      </c>
    </row>
    <row r="6" customFormat="false" ht="15" hidden="false" customHeight="false" outlineLevel="0" collapsed="false">
      <c r="A6" s="29" t="s">
        <v>83</v>
      </c>
      <c r="B6" s="30" t="n">
        <v>2</v>
      </c>
      <c r="C6" s="30" t="n">
        <v>5</v>
      </c>
      <c r="D6" s="30" t="n">
        <v>10</v>
      </c>
      <c r="E6" s="30" t="n">
        <v>25</v>
      </c>
    </row>
    <row r="7" customFormat="false" ht="15" hidden="false" customHeight="false" outlineLevel="0" collapsed="false">
      <c r="A7" s="29" t="s">
        <v>84</v>
      </c>
      <c r="B7" s="30" t="n">
        <v>1</v>
      </c>
      <c r="C7" s="30" t="n">
        <v>3</v>
      </c>
      <c r="D7" s="30" t="n">
        <v>8</v>
      </c>
      <c r="E7" s="30" t="n">
        <v>40</v>
      </c>
    </row>
    <row r="8" customFormat="false" ht="15" hidden="false" customHeight="false" outlineLevel="0" collapsed="false">
      <c r="A8" s="14" t="s">
        <v>85</v>
      </c>
      <c r="B8" s="31" t="n">
        <f aca="false">SUM(B5:B7)</f>
        <v>3</v>
      </c>
      <c r="C8" s="31" t="n">
        <f aca="false">SUM(C5:C7)</f>
        <v>33</v>
      </c>
      <c r="D8" s="31" t="n">
        <f aca="false">SUM(D5:D7)</f>
        <v>43</v>
      </c>
      <c r="E8" s="31" t="n">
        <f aca="false">SUM(E5:E7)</f>
        <v>100</v>
      </c>
    </row>
    <row r="9" customFormat="false" ht="15" hidden="false" customHeight="false" outlineLevel="0" collapsed="false">
      <c r="A9" s="12" t="s">
        <v>86</v>
      </c>
      <c r="B9" s="32" t="n">
        <f aca="false">B4-B8</f>
        <v>47</v>
      </c>
      <c r="C9" s="32" t="n">
        <f aca="false">C4-C8</f>
        <v>117</v>
      </c>
      <c r="D9" s="32" t="n">
        <f aca="false">D4-D8</f>
        <v>207</v>
      </c>
      <c r="E9" s="32" t="n">
        <f aca="false">E4-E8</f>
        <v>500</v>
      </c>
    </row>
    <row r="10" customFormat="false" ht="15" hidden="false" customHeight="false" outlineLevel="0" collapsed="false">
      <c r="A10" s="33" t="s">
        <v>87</v>
      </c>
      <c r="B10" s="34" t="n">
        <f aca="false">B9/B4</f>
        <v>0.94</v>
      </c>
      <c r="C10" s="34" t="n">
        <f aca="false">C9/C4</f>
        <v>0.78</v>
      </c>
      <c r="D10" s="34" t="n">
        <f aca="false">D9/D4</f>
        <v>0.828</v>
      </c>
      <c r="E10" s="34" t="n">
        <f aca="false">E9/E4</f>
        <v>0.833333333333333</v>
      </c>
    </row>
    <row r="12" customFormat="false" ht="60" hidden="false" customHeight="true" outlineLevel="0" collapsed="false">
      <c r="A12" s="35" t="s">
        <v>88</v>
      </c>
      <c r="B12" s="35"/>
      <c r="C12" s="35"/>
      <c r="D12" s="35"/>
      <c r="E12" s="35"/>
      <c r="F12" s="35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2026-05-30T20:54:48Z</dcterms:created>
  <dc:creator>openpyxl</dc:creator>
  <dc:description/>
  <dc:language>en-US</dc:language>
  <cp:lastModifiedBy/>
  <dcterms:modified xsi:type="dcterms:W3CDTF">2026-05-30T20:54:48Z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